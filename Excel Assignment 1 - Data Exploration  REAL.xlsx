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C30D3BF-2B4B-4C06-9CDA-A6F73A114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I2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K30" i="1"/>
  <c r="K2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K22" i="1"/>
  <c r="K18" i="1"/>
  <c r="K14" i="1"/>
  <c r="K10" i="1"/>
  <c r="K6" i="1"/>
</calcChain>
</file>

<file path=xl/sharedStrings.xml><?xml version="1.0" encoding="utf-8"?>
<sst xmlns="http://schemas.openxmlformats.org/spreadsheetml/2006/main" count="169" uniqueCount="120">
  <si>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</si>
  <si>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</si>
  <si>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</si>
  <si>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</si>
  <si>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</si>
  <si>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</si>
  <si>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</si>
  <si>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</si>
  <si>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</si>
  <si>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</si>
  <si>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</si>
  <si>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</si>
  <si>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</si>
  <si>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</si>
  <si>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</si>
  <si>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</si>
  <si>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</si>
  <si>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</si>
  <si>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</si>
  <si>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</si>
  <si>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</si>
  <si>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</si>
  <si>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</si>
  <si>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</si>
  <si>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</si>
  <si>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</si>
  <si>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</si>
  <si>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</si>
  <si>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</si>
  <si>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</si>
  <si>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</si>
  <si>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</si>
  <si>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</si>
  <si>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</si>
  <si>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</si>
  <si>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</si>
  <si>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</si>
  <si>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</si>
  <si>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</si>
  <si>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</si>
  <si>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</si>
  <si>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</si>
  <si>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</si>
  <si>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</si>
  <si>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</si>
  <si>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</si>
  <si>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</si>
  <si>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</si>
  <si>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</si>
  <si>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</si>
  <si>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</si>
  <si>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</si>
  <si>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</si>
  <si>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</si>
  <si>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</si>
  <si>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</si>
  <si>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</si>
  <si>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</si>
  <si>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</si>
  <si>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</si>
  <si>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</si>
  <si>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</si>
  <si>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</si>
  <si>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</si>
  <si>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</si>
  <si>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</si>
  <si>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</si>
  <si>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</si>
  <si>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</si>
  <si>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</si>
  <si>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</si>
  <si>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</si>
  <si>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</si>
  <si>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</si>
  <si>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</si>
  <si>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</si>
  <si>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</si>
  <si>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</si>
  <si>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</si>
  <si>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</si>
  <si>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</si>
  <si>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</si>
  <si>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</si>
  <si>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</si>
  <si>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</si>
  <si>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</si>
  <si>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</si>
  <si>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</si>
  <si>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</si>
  <si>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</si>
  <si>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</si>
  <si>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</si>
  <si>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</si>
  <si>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</si>
  <si>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SUM(D2:D35)</t>
  </si>
  <si>
    <t>Determine how many products exist in the dataset.</t>
  </si>
  <si>
    <t>COUNTA(B2:B35)</t>
  </si>
  <si>
    <t>Calculate the average price of the products.</t>
  </si>
  <si>
    <t>AVERAGE(D2:D35)</t>
  </si>
  <si>
    <t>Identify the minimum price among all products.</t>
  </si>
  <si>
    <t>MIN(D2:D35)</t>
  </si>
  <si>
    <t>Identify the maximum price among all products.</t>
  </si>
  <si>
    <t>MAX(D2:D35)</t>
  </si>
  <si>
    <t>Price Range</t>
  </si>
  <si>
    <t>total price of products in the Electronics category.</t>
  </si>
  <si>
    <t>SUMIF(F2:F35,"Electronics",D2:D35)</t>
  </si>
  <si>
    <t>the number of products with a price less than $100.</t>
  </si>
  <si>
    <t>COUNTIF(D2:D35,"&lt;100")</t>
  </si>
  <si>
    <t>if</t>
  </si>
  <si>
    <t>IF(D2&gt;=500,"HIGH PRICE","STANDARD PRICE").</t>
  </si>
  <si>
    <t>Day</t>
  </si>
  <si>
    <t>Country code</t>
  </si>
  <si>
    <t>Month</t>
  </si>
  <si>
    <t>left</t>
  </si>
  <si>
    <t>Right</t>
  </si>
  <si>
    <t>Middle</t>
  </si>
  <si>
    <t>LEFT(A2,2)</t>
  </si>
  <si>
    <t>RIGHT(A2,2)</t>
  </si>
  <si>
    <t>MID(A2,4,6)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</si>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</sst>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4" borderId="0" xfId="1" applyAlignment="1">
      <alignment horizontal="center"/>
    </xf>
    <xf numFmtId="0" fontId="5" fillId="4" borderId="0" xfId="1"/>
    <xf numFmtId="0" fontId="5" fillId="5" borderId="0" xfId="1" applyFill="1" applyAlignment="1">
      <alignment horizontal="center"/>
    </xf>
    <xf numFmtId="0" fontId="5" fillId="5" borderId="0" xfId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M6" sqref="M6"/>
    </sheetView>
  </sheetViews>
  <sheetFormatPr defaultColWidth="12.6640625" defaultRowHeight="15" customHeight="1" x14ac:dyDescent="0.25"/>
  <cols>
    <col min="2" max="2" width="14.109375" customWidth="1"/>
    <col min="7" max="7" width="18.21875" style="12" customWidth="1"/>
    <col min="8" max="8" width="15.44140625" style="13" customWidth="1"/>
    <col min="9" max="9" width="12.6640625" style="13"/>
    <col min="10" max="10" width="12.6640625" style="12"/>
    <col min="11" max="11" width="52.109375" style="5" customWidth="1"/>
    <col min="12" max="12" width="41.6640625" style="4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103</v>
      </c>
      <c r="H1" s="14" t="s">
        <v>110</v>
      </c>
      <c r="I1" s="15" t="s">
        <v>111</v>
      </c>
      <c r="J1" s="14" t="s">
        <v>112</v>
      </c>
    </row>
    <row r="2" spans="1:12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12" t="str">
        <f>IF(D2&gt;=500,"HIGH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MID(A2,4,6)</f>
        <v>JAN-US</v>
      </c>
    </row>
    <row r="3" spans="1:12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12" t="str">
        <f t="shared" ref="G3:G35" si="0">IF(D3&gt;=500,"HIGH PRICE","STANDARD PRICE")</f>
        <v>STANDARD PRICE</v>
      </c>
      <c r="H3" s="12" t="str">
        <f t="shared" ref="H3:H35" si="1">LEFT(A3,2)</f>
        <v>15</v>
      </c>
      <c r="I3" s="12" t="str">
        <f t="shared" ref="I3:I35" si="2">RIGHT(A3,2)</f>
        <v>US</v>
      </c>
      <c r="J3" s="12" t="str">
        <f t="shared" ref="J3:J35" si="3">MID(A3,4,6)</f>
        <v>FEB-US</v>
      </c>
      <c r="L3" s="11" t="s">
        <v>119</v>
      </c>
    </row>
    <row r="4" spans="1:12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12" t="str">
        <f t="shared" si="0"/>
        <v>STANDARD PRICE</v>
      </c>
      <c r="H4" s="12" t="str">
        <f t="shared" si="1"/>
        <v>03</v>
      </c>
      <c r="I4" s="12" t="str">
        <f t="shared" si="2"/>
        <v>US</v>
      </c>
      <c r="J4" s="12" t="str">
        <f t="shared" si="3"/>
        <v>MAR-US</v>
      </c>
      <c r="K4" s="7" t="s">
        <v>93</v>
      </c>
    </row>
    <row r="5" spans="1:12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12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2" t="str">
        <f t="shared" si="3"/>
        <v>APR-US</v>
      </c>
    </row>
    <row r="6" spans="1:12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12" t="str">
        <f t="shared" si="0"/>
        <v>STANDARD PRICE</v>
      </c>
      <c r="H6" s="12" t="str">
        <f t="shared" si="1"/>
        <v>22</v>
      </c>
      <c r="I6" s="12" t="str">
        <f t="shared" si="2"/>
        <v>US</v>
      </c>
      <c r="J6" s="12" t="str">
        <f t="shared" si="3"/>
        <v>MAY-US</v>
      </c>
      <c r="K6" s="5">
        <f>SUM(D2:D35)</f>
        <v>10100</v>
      </c>
      <c r="L6" s="6" t="s">
        <v>94</v>
      </c>
    </row>
    <row r="7" spans="1:12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12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12" t="str">
        <f t="shared" si="3"/>
        <v>JUN-UK</v>
      </c>
    </row>
    <row r="8" spans="1:12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12" t="str">
        <f t="shared" si="0"/>
        <v>STANDARD PRICE</v>
      </c>
      <c r="H8" s="12" t="str">
        <f t="shared" si="1"/>
        <v>19</v>
      </c>
      <c r="I8" s="12" t="str">
        <f t="shared" si="2"/>
        <v>UK</v>
      </c>
      <c r="J8" s="12" t="str">
        <f t="shared" si="3"/>
        <v>JUL-UK</v>
      </c>
      <c r="K8" s="7" t="s">
        <v>95</v>
      </c>
    </row>
    <row r="9" spans="1:12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12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12" t="str">
        <f t="shared" si="3"/>
        <v>AUG-UK</v>
      </c>
    </row>
    <row r="10" spans="1:12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SEP-UK</v>
      </c>
      <c r="K10" s="5">
        <f>COUNTA(B2:B35)</f>
        <v>34</v>
      </c>
      <c r="L10" s="6" t="s">
        <v>96</v>
      </c>
    </row>
    <row r="11" spans="1:12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12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OCT-UK</v>
      </c>
    </row>
    <row r="12" spans="1:12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JUN-IN</v>
      </c>
      <c r="K12" s="7" t="s">
        <v>97</v>
      </c>
    </row>
    <row r="13" spans="1:12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12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NOV-AU</v>
      </c>
    </row>
    <row r="14" spans="1:12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12" t="str">
        <f t="shared" si="0"/>
        <v>STANDARD PRICE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DEC-DE</v>
      </c>
      <c r="K14" s="5">
        <f>AVERAGE(D2:D35)</f>
        <v>297.05882352941177</v>
      </c>
      <c r="L14" s="6" t="s">
        <v>98</v>
      </c>
    </row>
    <row r="15" spans="1:12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12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FEB-CA</v>
      </c>
    </row>
    <row r="16" spans="1:12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12" t="str">
        <f t="shared" si="0"/>
        <v>STANDARD PRICE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APR-ES</v>
      </c>
      <c r="K16" s="7" t="s">
        <v>99</v>
      </c>
    </row>
    <row r="17" spans="1:12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2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AUG-CA</v>
      </c>
    </row>
    <row r="18" spans="1:12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12" t="str">
        <f t="shared" si="0"/>
        <v>STANDARD PRICE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AUG-CN</v>
      </c>
      <c r="K18" s="5">
        <f>MIN(D2:D35)</f>
        <v>30</v>
      </c>
      <c r="L18" s="6" t="s">
        <v>100</v>
      </c>
    </row>
    <row r="19" spans="1:12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12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JAN-IT</v>
      </c>
    </row>
    <row r="20" spans="1:12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12" t="str">
        <f t="shared" si="0"/>
        <v>STANDARD PRICE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MAR-UK</v>
      </c>
      <c r="K20" s="7" t="s">
        <v>101</v>
      </c>
    </row>
    <row r="21" spans="1:12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12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AUG-US</v>
      </c>
    </row>
    <row r="22" spans="1:12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MAY-RU</v>
      </c>
      <c r="K22" s="5">
        <f>MAX(D2:D35)</f>
        <v>1000</v>
      </c>
      <c r="L22" s="6" t="s">
        <v>102</v>
      </c>
    </row>
    <row r="23" spans="1:12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12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JAN-CA</v>
      </c>
    </row>
    <row r="24" spans="1:12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12" t="str">
        <f t="shared" si="0"/>
        <v>STANDARD PRICE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JUL-BR</v>
      </c>
      <c r="K24" s="7" t="s">
        <v>104</v>
      </c>
    </row>
    <row r="25" spans="1:12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12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AUG-CA</v>
      </c>
    </row>
    <row r="26" spans="1:12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SEP-CA</v>
      </c>
      <c r="K26" s="5">
        <f>SUMIF(F2:F35,"Electronics",D2:D35)</f>
        <v>8050</v>
      </c>
      <c r="L26" s="4" t="s">
        <v>105</v>
      </c>
    </row>
    <row r="27" spans="1:12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12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JUN-CA</v>
      </c>
    </row>
    <row r="28" spans="1:12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12" t="str">
        <f t="shared" si="0"/>
        <v>STANDARD PRICE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JUL-CA</v>
      </c>
      <c r="K28" s="7" t="s">
        <v>106</v>
      </c>
    </row>
    <row r="29" spans="1:12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12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APR-ES</v>
      </c>
    </row>
    <row r="30" spans="1:12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12" t="str">
        <f t="shared" si="0"/>
        <v>STANDARD PRICE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MAR-CA</v>
      </c>
      <c r="K30" s="5">
        <f>COUNTIF(D2:D35,"&lt;100")</f>
        <v>11</v>
      </c>
      <c r="L30" s="4" t="s">
        <v>107</v>
      </c>
    </row>
    <row r="31" spans="1:12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12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APR-CA</v>
      </c>
    </row>
    <row r="32" spans="1:12" ht="15.75" customHeight="1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12" t="str">
        <f t="shared" si="0"/>
        <v>STANDARD PRICE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MAY-CA</v>
      </c>
      <c r="K32" s="10" t="s">
        <v>108</v>
      </c>
      <c r="L32" s="8" t="s">
        <v>109</v>
      </c>
    </row>
    <row r="33" spans="1:12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12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DEC-CA</v>
      </c>
    </row>
    <row r="34" spans="1:12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JUN-IN</v>
      </c>
    </row>
    <row r="35" spans="1:12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12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JUL-FR</v>
      </c>
      <c r="K35" s="9" t="s">
        <v>113</v>
      </c>
      <c r="L35" s="6" t="s">
        <v>116</v>
      </c>
    </row>
    <row r="36" spans="1:12" ht="15.75" customHeight="1" x14ac:dyDescent="0.25"/>
    <row r="37" spans="1:12" ht="15.75" customHeight="1" x14ac:dyDescent="0.25"/>
    <row r="38" spans="1:12" ht="15.75" customHeight="1" x14ac:dyDescent="0.25">
      <c r="K38" s="9" t="s">
        <v>114</v>
      </c>
      <c r="L38" s="6" t="s">
        <v>117</v>
      </c>
    </row>
    <row r="39" spans="1:12" ht="15.75" customHeight="1" x14ac:dyDescent="0.25"/>
    <row r="40" spans="1:12" ht="15.75" customHeight="1" x14ac:dyDescent="0.25"/>
    <row r="41" spans="1:12" ht="15.75" customHeight="1" x14ac:dyDescent="0.25">
      <c r="K41" s="9" t="s">
        <v>115</v>
      </c>
      <c r="L41" s="6" t="s">
        <v>118</v>
      </c>
    </row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2026-09-21T13:30:04Z</dcterms:created>
  <dcterms:modified xsi:type="dcterms:W3CDTF">2026-09-22T06:20:10Z</dcterms:modified>
</cp:coreProperties>
</file>